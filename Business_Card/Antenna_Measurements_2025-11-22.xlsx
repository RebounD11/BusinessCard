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dragan\Documents\NFC_BC\Business_Card\"/>
    </mc:Choice>
  </mc:AlternateContent>
  <xr:revisionPtr revIDLastSave="0" documentId="13_ncr:1_{5E56DBC1-319A-43E8-9939-9FB2E4D86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M15" i="1" s="1"/>
  <c r="E16" i="1"/>
  <c r="F16" i="1" s="1"/>
  <c r="I16" i="1" s="1"/>
  <c r="L15" i="1"/>
  <c r="N15" i="1" l="1"/>
  <c r="G16" i="1"/>
</calcChain>
</file>

<file path=xl/sharedStrings.xml><?xml version="1.0" encoding="utf-8"?>
<sst xmlns="http://schemas.openxmlformats.org/spreadsheetml/2006/main" count="16" uniqueCount="14">
  <si>
    <t>R_A = R_SDC+R_SAC</t>
  </si>
  <si>
    <t>Markers [MHz]</t>
  </si>
  <si>
    <t>F_res</t>
  </si>
  <si>
    <t>Q</t>
  </si>
  <si>
    <t>L_A = L_A @1 MHz</t>
  </si>
  <si>
    <r>
      <t>C_A = 1/(L_A*(2</t>
    </r>
    <r>
      <rPr>
        <b/>
        <sz val="11"/>
        <color theme="1"/>
        <rFont val="Arial"/>
        <family val="2"/>
      </rPr>
      <t>π</t>
    </r>
    <r>
      <rPr>
        <b/>
        <sz val="11"/>
        <color theme="1"/>
        <rFont val="Calibri"/>
        <family val="2"/>
      </rPr>
      <t>F</t>
    </r>
    <r>
      <rPr>
        <b/>
        <sz val="11"/>
        <color theme="1"/>
        <rFont val="Calibri"/>
        <family val="2"/>
        <scheme val="minor"/>
      </rPr>
      <t>_res)^2)</t>
    </r>
  </si>
  <si>
    <t>L_A [nH]</t>
  </si>
  <si>
    <r>
      <t>R_SDC [</t>
    </r>
    <r>
      <rPr>
        <b/>
        <sz val="11"/>
        <color theme="1"/>
        <rFont val="Arial"/>
        <family val="2"/>
      </rPr>
      <t>Ω</t>
    </r>
    <r>
      <rPr>
        <b/>
        <sz val="11"/>
        <color theme="1"/>
        <rFont val="Calibri"/>
        <family val="2"/>
      </rPr>
      <t>]</t>
    </r>
  </si>
  <si>
    <t>R_PAC [kΩ]</t>
  </si>
  <si>
    <t>R_SAC [Ω]</t>
  </si>
  <si>
    <t>C_A [pF]</t>
  </si>
  <si>
    <t>R_A [Ω]</t>
  </si>
  <si>
    <r>
      <t>L_A [</t>
    </r>
    <r>
      <rPr>
        <b/>
        <sz val="11"/>
        <color theme="1"/>
        <rFont val="Arial"/>
        <family val="2"/>
      </rPr>
      <t>µ</t>
    </r>
    <r>
      <rPr>
        <b/>
        <sz val="11"/>
        <color theme="1"/>
        <rFont val="Calibri"/>
        <family val="2"/>
        <scheme val="minor"/>
      </rPr>
      <t>H]</t>
    </r>
  </si>
  <si>
    <t>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</si>
</sst>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57150</xdr:rowOff>
    </xdr:from>
    <xdr:to>
      <xdr:col>4</xdr:col>
      <xdr:colOff>276225</xdr:colOff>
      <xdr:row>10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4DB7A-32D3-783D-BADC-C4E7D5552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5196"/>
        <a:stretch/>
      </xdr:blipFill>
      <xdr:spPr bwMode="auto">
        <a:xfrm>
          <a:off x="857250" y="247650"/>
          <a:ext cx="2028825" cy="1838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304711</xdr:colOff>
      <xdr:row>1</xdr:row>
      <xdr:rowOff>14653</xdr:rowOff>
    </xdr:from>
    <xdr:to>
      <xdr:col>20</xdr:col>
      <xdr:colOff>490041</xdr:colOff>
      <xdr:row>17</xdr:row>
      <xdr:rowOff>21981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E8A608-9268-0BF3-D04D-A658A68C7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2"/>
        <a:stretch>
          <a:fillRect/>
        </a:stretch>
      </xdr:blipFill>
      <xdr:spPr>
        <a:xfrm>
          <a:off x="9741788" y="205153"/>
          <a:ext cx="3834138" cy="3055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7"/>
  <sheetViews>
    <sheetView tabSelected="1" zoomScale="115" zoomScaleNormal="115" workbookViewId="0">
      <selection activeCell="R19" sqref="R19"/>
    </sheetView>
  </sheetViews>
  <sheetFormatPr defaultRowHeight="15" x14ac:dyDescent="0.25"/>
  <cols>
    <col min="4" max="4" width="11.7109375" customWidth="1"/>
    <col min="5" max="5" width="12.28515625" customWidth="1"/>
    <col min="6" max="6" width="11.42578125" customWidth="1"/>
    <col min="8" max="8" width="12" bestFit="1" customWidth="1"/>
    <col min="12" max="12" width="12" bestFit="1" customWidth="1"/>
  </cols>
  <sheetData>
    <row r="3" spans="1:14" x14ac:dyDescent="0.25">
      <c r="F3" s="12" t="s">
        <v>0</v>
      </c>
      <c r="G3" s="12"/>
      <c r="H3" s="12"/>
    </row>
    <row r="4" spans="1:14" x14ac:dyDescent="0.25">
      <c r="F4" s="12" t="s">
        <v>4</v>
      </c>
      <c r="G4" s="12"/>
      <c r="H4" s="12"/>
    </row>
    <row r="5" spans="1:14" x14ac:dyDescent="0.25">
      <c r="F5" s="12" t="s">
        <v>5</v>
      </c>
      <c r="G5" s="12"/>
      <c r="H5" s="12"/>
    </row>
    <row r="13" spans="1:14" x14ac:dyDescent="0.25">
      <c r="L13" s="8" t="s">
        <v>13</v>
      </c>
      <c r="M13" s="9"/>
      <c r="N13" s="9"/>
    </row>
    <row r="14" spans="1:14" x14ac:dyDescent="0.25">
      <c r="A14" s="10" t="s">
        <v>1</v>
      </c>
      <c r="B14" s="11"/>
      <c r="C14" s="1" t="s">
        <v>12</v>
      </c>
      <c r="D14" s="1" t="s">
        <v>7</v>
      </c>
      <c r="E14" s="1" t="s">
        <v>8</v>
      </c>
      <c r="F14" s="1" t="s">
        <v>9</v>
      </c>
      <c r="G14" s="1" t="s">
        <v>3</v>
      </c>
      <c r="H14" s="1" t="s">
        <v>10</v>
      </c>
      <c r="I14" s="1" t="s">
        <v>11</v>
      </c>
      <c r="L14" s="1" t="s">
        <v>6</v>
      </c>
      <c r="M14" s="1" t="s">
        <v>10</v>
      </c>
      <c r="N14" s="1" t="s">
        <v>11</v>
      </c>
    </row>
    <row r="15" spans="1:14" x14ac:dyDescent="0.25">
      <c r="A15" s="11">
        <v>1</v>
      </c>
      <c r="B15" s="11"/>
      <c r="C15" s="4">
        <v>1.8720000000000001</v>
      </c>
      <c r="D15" s="5">
        <v>1.41</v>
      </c>
      <c r="E15" s="2"/>
      <c r="F15" s="2"/>
      <c r="G15" s="2"/>
      <c r="H15" s="2"/>
      <c r="I15" s="2"/>
      <c r="L15" s="7">
        <f>C15*1000</f>
        <v>1872</v>
      </c>
      <c r="M15" s="7">
        <f>H17</f>
        <v>31.639772348180031</v>
      </c>
      <c r="N15" s="7">
        <f>I16</f>
        <v>4.4405964642720752</v>
      </c>
    </row>
    <row r="16" spans="1:14" x14ac:dyDescent="0.25">
      <c r="A16" s="11">
        <v>13.56</v>
      </c>
      <c r="B16" s="11"/>
      <c r="C16" s="4">
        <v>3.117</v>
      </c>
      <c r="D16" s="2"/>
      <c r="E16" s="6">
        <f>E17*SQRT(B17/A16)</f>
        <v>8.3938787664769539</v>
      </c>
      <c r="F16" s="6">
        <f>0.001*(2*PI()*A16*C15)^2/E16</f>
        <v>3.0305964642720751</v>
      </c>
      <c r="G16" s="6">
        <f>2*PI()*A16*C15/I16</f>
        <v>35.917334020327388</v>
      </c>
      <c r="H16" s="2"/>
      <c r="I16" s="6">
        <f>F16+D15</f>
        <v>4.4405964642720752</v>
      </c>
    </row>
    <row r="17" spans="1:9" x14ac:dyDescent="0.25">
      <c r="A17" s="3" t="s">
        <v>2</v>
      </c>
      <c r="B17" s="4">
        <v>20.68</v>
      </c>
      <c r="C17" s="3"/>
      <c r="D17" s="2"/>
      <c r="E17" s="5">
        <v>6.7969999999999997</v>
      </c>
      <c r="F17" s="2"/>
      <c r="G17" s="2"/>
      <c r="H17" s="6">
        <f>1000000/(C15*(2*PI()*B17)^2)</f>
        <v>31.639772348180031</v>
      </c>
      <c r="I17" s="2"/>
    </row>
  </sheetData>
  <mergeCells count="7">
    <mergeCell ref="F3:H3"/>
    <mergeCell ref="F4:H4"/>
    <mergeCell ref="F5:H5"/>
    <mergeCell ref="L13:N13"/>
    <mergeCell ref="A14:B14"/>
    <mergeCell ref="A15:B15"/>
    <mergeCell ref="A16:B1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83A932FB39234EB5105207F4749F95" ma:contentTypeVersion="11" ma:contentTypeDescription="Ein neues Dokument erstellen." ma:contentTypeScope="" ma:versionID="255b6b9e27fd97655a54c10f88c0dd66">
  <xsd:schema xmlns:xsd="http://www.w3.org/2001/XMLSchema" xmlns:xs="http://www.w3.org/2001/XMLSchema" xmlns:p="http://schemas.microsoft.com/office/2006/metadata/properties" xmlns:ns2="e651dccb-53de-422a-9a70-8fb5fcaa369d" xmlns:ns3="29768aae-fb9e-4fa8-96f1-4a64b0a048bb" targetNamespace="http://schemas.microsoft.com/office/2006/metadata/properties" ma:root="true" ma:fieldsID="95ec8e2d09c38a9860ec1b27fe550fd2" ns2:_="" ns3:_="">
    <xsd:import namespace="e651dccb-53de-422a-9a70-8fb5fcaa369d"/>
    <xsd:import namespace="29768aae-fb9e-4fa8-96f1-4a64b0a048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1dccb-53de-422a-9a70-8fb5fcaa3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d7c58ef-c1c0-480a-9d32-85a5a0f39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68aae-fb9e-4fa8-96f1-4a64b0a048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0b7e95-c301-47fd-bfc0-ea47222fc64c}" ma:internalName="TaxCatchAll" ma:showField="CatchAllData" ma:web="29768aae-fb9e-4fa8-96f1-4a64b0a048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51dccb-53de-422a-9a70-8fb5fcaa369d">
      <Terms xmlns="http://schemas.microsoft.com/office/infopath/2007/PartnerControls"/>
    </lcf76f155ced4ddcb4097134ff3c332f>
    <TaxCatchAll xmlns="29768aae-fb9e-4fa8-96f1-4a64b0a048bb" xsi:nil="true"/>
  </documentManagement>
</p:properties>
</file>

<file path=customXml/itemProps1.xml><?xml version="1.0" encoding="utf-8"?>
<ds:datastoreItem xmlns:ds="http://schemas.openxmlformats.org/officeDocument/2006/customXml" ds:itemID="{648B11B3-01C5-4DC5-816C-B0C5204178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D54E59-CC8F-458C-934E-C6014D83B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1dccb-53de-422a-9a70-8fb5fcaa369d"/>
    <ds:schemaRef ds:uri="29768aae-fb9e-4fa8-96f1-4a64b0a048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9DD18-A6BA-4216-8E48-6AB6075FCB95}">
  <ds:schemaRefs>
    <ds:schemaRef ds:uri="http://purl.org/dc/elements/1.1/"/>
    <ds:schemaRef ds:uri="http://schemas.microsoft.com/office/2006/documentManagement/types"/>
    <ds:schemaRef ds:uri="29768aae-fb9e-4fa8-96f1-4a64b0a048bb"/>
    <ds:schemaRef ds:uri="http://purl.org/dc/terms/"/>
    <ds:schemaRef ds:uri="e651dccb-53de-422a-9a70-8fb5fcaa369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Dragan, Dorin</dc:creator>
  <cp:lastModifiedBy>Dragan, Dorin</cp:lastModifiedBy>
  <dcterms:created xsi:type="dcterms:W3CDTF">2015-06-05T18:17:20Z</dcterms:created>
  <dcterms:modified xsi:type="dcterms:W3CDTF">2025-11-23T22:09:00Z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0x010100C583A932FB39234EB5105207F4749F95</vt:lpwstr>
  </property>
  <property fmtid="{D5CDD505-2E9C-101B-9397-08002B2CF9AE}" pid="3" name="MSIP_Label_8f482eb6-53e9-4c87-a678-52415e65a241_Enabled">
    <vt:lpwstr>true</vt:lpwstr>
  </property>
  <property fmtid="{D5CDD505-2E9C-101B-9397-08002B2CF9AE}" pid="4" name="MSIP_Label_8f482eb6-53e9-4c87-a678-52415e65a241_SetDate">
    <vt:lpwstr>2024-12-17T21:02:38Z</vt:lpwstr>
  </property>
  <property fmtid="{D5CDD505-2E9C-101B-9397-08002B2CF9AE}" pid="5" name="MSIP_Label_8f482eb6-53e9-4c87-a678-52415e65a241_Method">
    <vt:lpwstr>Standard</vt:lpwstr>
  </property>
  <property fmtid="{D5CDD505-2E9C-101B-9397-08002B2CF9AE}" pid="6" name="MSIP_Label_8f482eb6-53e9-4c87-a678-52415e65a241_Name">
    <vt:lpwstr>internal</vt:lpwstr>
  </property>
  <property fmtid="{D5CDD505-2E9C-101B-9397-08002B2CF9AE}" pid="7" name="MSIP_Label_8f482eb6-53e9-4c87-a678-52415e65a241_SiteId">
    <vt:lpwstr>b8db7071-6adb-4c62-9d0d-c99ad18b3c23</vt:lpwstr>
  </property>
  <property fmtid="{D5CDD505-2E9C-101B-9397-08002B2CF9AE}" pid="8" name="MSIP_Label_8f482eb6-53e9-4c87-a678-52415e65a241_ActionId">
    <vt:lpwstr>425e6b7e-013b-4507-9cf8-9b50a19b265f</vt:lpwstr>
  </property>
  <property fmtid="{D5CDD505-2E9C-101B-9397-08002B2CF9AE}" pid="9" name="MSIP_Label_8f482eb6-53e9-4c87-a678-52415e65a241_ContentBits">
    <vt:lpwstr>0</vt:lpwstr>
  </property>
  <property fmtid="{D5CDD505-2E9C-101B-9397-08002B2CF9AE}" pid="10" name="MediaServiceImageTags">
    <vt:lpwstr/>
  </property>
</Properties>
</file>